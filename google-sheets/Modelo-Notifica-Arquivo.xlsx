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2980b7e64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ificacoes" sheetId="1" r:id="R29d1264120bd4fb0"/>
    <x:sheet xmlns:r="http://schemas.openxmlformats.org/officeDocument/2006/relationships" name="Categorias" sheetId="2" r:id="Rfc9cdbcbfb534d8b"/>
    <x:sheet xmlns:r="http://schemas.openxmlformats.org/officeDocument/2006/relationships" name="Aplicativos" sheetId="3" r:id="R5e13507cd8ae4060"/>
    <x:sheet xmlns:r="http://schemas.openxmlformats.org/officeDocument/2006/relationships" name="Dashboard" sheetId="4" r:id="R2d85cc6d5c084591"/>
    <x:sheet xmlns:r="http://schemas.openxmlformats.org/officeDocument/2006/relationships" name="Ajuda" sheetId="5" r:id="R437a3c0c451f4b3d"/>
    <x:sheet xmlns:r="http://schemas.openxmlformats.org/officeDocument/2006/relationships" name="Financeiro" sheetId="6" r:id="R7886eda56976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61706A"/>
      <x:name val="Carlito"/>
    </x:font>
    <x:font>
      <x:sz val="11"/>
      <x:color rgb="FF20302B"/>
      <x:name val="Carlito"/>
    </x:font>
    <x:font>
      <x:sz val="11"/>
      <x:color rgb="FF8B3A3A"/>
      <x:name val="Carlito"/>
    </x:font>
    <x:font>
      <x:b/>
      <x:sz val="11"/>
      <x:color rgb="FF61706A"/>
      <x:name val="Carlito"/>
    </x:font>
    <x:font>
      <x:b/>
      <x:sz val="22"/>
      <x:color rgb="FF20302B"/>
      <x:name val="Carlito"/>
    </x:font>
    <x:font>
      <x:b/>
      <x:sz val="18"/>
      <x:color rgb="FF20302B"/>
      <x:name val="Arial"/>
    </x:font>
    <x:font>
      <x:sz val="11"/>
      <x:color rgb="FF20302B"/>
      <x:name val="Arial"/>
    </x:font>
    <x:font>
      <x:i/>
      <x:sz val="11"/>
      <x:color rgb="FF20302B"/>
      <x:name val="Arial"/>
    </x:font>
    <x:font>
      <x:b/>
      <x:sz val="11"/>
      <x:color rgb="FF20302B"/>
      <x:name val="Arial"/>
    </x:font>
    <x:font>
      <x:b/>
      <x:sz val="22"/>
      <x:color rgb="FF20302B"/>
      <x:name val="Arial"/>
    </x:font>
    <x:font>
      <x:b/>
      <x:sz val="18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46C60"/>
      </x:patternFill>
    </x:fill>
    <x:fill>
      <x:patternFill patternType="solid">
        <x:fgColor rgb="FF20302B"/>
      </x:patternFill>
    </x:fill>
    <x:fill>
      <x:patternFill patternType="solid">
        <x:fgColor rgb="FFF7F8F6"/>
      </x:patternFill>
    </x:fill>
    <x:fill>
      <x:patternFill patternType="solid">
        <x:fgColor rgb="FFDCEFE8"/>
      </x:patternFill>
    </x:fill>
    <x:fill>
      <x:patternFill patternType="solid">
        <x:fgColor rgb="FFFCE4E2"/>
      </x:patternFill>
    </x:fill>
    <x:fill>
      <x:patternFill patternType="solid">
        <x:fgColor rgb="FF157565"/>
      </x:patternFill>
    </x:fill>
    <x:fill>
      <x:patternFill patternType="solid">
        <x:fgColor rgb="FFC6EFCE"/>
      </x:patternFill>
    </x:fill>
  </x:fills>
  <x:borders count="9">
    <x:border/>
    <x:border>
      <x:left style="thin">
        <x:color rgb="FFD9E0DC"/>
      </x:left>
      <x:top style="thin">
        <x:color rgb="FFD9E0DC"/>
      </x:top>
    </x:border>
    <x:border>
      <x:right style="thin">
        <x:color rgb="FFD9E0DC"/>
      </x:right>
      <x:top style="thin">
        <x:color rgb="FFD9E0DC"/>
      </x:top>
    </x:border>
    <x:border>
      <x:left style="thin">
        <x:color rgb="FFD9E0DC"/>
      </x:left>
      <x:bottom style="thin">
        <x:color rgb="FFD9E0DC"/>
      </x:bottom>
    </x:border>
    <x:border>
      <x:right style="thin">
        <x:color rgb="FFD9E0DC"/>
      </x:right>
      <x:bottom style="thin">
        <x:color rgb="FFD9E0DC"/>
      </x:bottom>
    </x:border>
    <x:border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top style="thin">
        <x:color rgb="FFD9E0DC"/>
      </x:top>
      <x:bottom style="thin">
        <x:color rgb="FFD9E0DC"/>
      </x:bottom>
    </x:border>
    <x:border>
      <x:bottom style="thin">
        <x:color rgb="FF63BE7B"/>
      </x:bottom>
    </x:border>
    <x:border>
      <x:top style="thin">
        <x:color rgb="FF63BE7B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2" xfId="0" applyNumberFormat="1" applyFont="1" applyFill="1" applyBorder="1" applyAlignment="1">
      <x:alignment horizontal="left"/>
    </x:xf>
    <x:xf numFmtId="0" fontId="4" fillId="5" borderId="3" xfId="0" applyNumberFormat="1" applyFont="1" applyFill="1" applyBorder="1" applyAlignment="1">
      <x:alignment horizontal="left"/>
    </x:xf>
    <x:xf numFmtId="0" fontId="4" fillId="5" borderId="4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5" borderId="2" xfId="0" applyNumberFormat="1" applyFont="1" applyFill="1" applyBorder="1" applyAlignment="1">
      <x:alignment horizontal="left" vertical="center"/>
    </x:xf>
    <x:xf numFmtId="0" fontId="4" fillId="5" borderId="3" xfId="0" applyNumberFormat="1" applyFont="1" applyFill="1" applyBorder="1" applyAlignment="1">
      <x:alignment horizontal="left" vertical="center"/>
    </x:xf>
    <x:xf numFmtId="0" fontId="4" fillId="5" borderId="4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2" xfId="0" applyNumberFormat="1" applyFont="1" applyFill="1" applyBorder="1" applyAlignment="1">
      <x:alignment horizontal="left"/>
    </x:xf>
    <x:xf numFmtId="0" fontId="5" fillId="6" borderId="3" xfId="0" applyNumberFormat="1" applyFont="1" applyFill="1" applyBorder="1" applyAlignment="1">
      <x:alignment horizontal="left"/>
    </x:xf>
    <x:xf numFmtId="0" fontId="5" fillId="6" borderId="4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5" fillId="6" borderId="2" xfId="0" applyNumberFormat="1" applyFont="1" applyFill="1" applyBorder="1" applyAlignment="1">
      <x:alignment horizontal="left" vertical="center"/>
    </x:xf>
    <x:xf numFmtId="0" fontId="5" fillId="6" borderId="3" xfId="0" applyNumberFormat="1" applyFont="1" applyFill="1" applyBorder="1" applyAlignment="1">
      <x:alignment horizontal="left" vertical="center"/>
    </x:xf>
    <x:xf numFmtId="0" fontId="5" fillId="6" borderId="4" xfId="0" applyNumberFormat="1" applyFont="1" applyFill="1" applyBorder="1" applyAlignment="1">
      <x:alignment horizontal="left" vertical="center"/>
    </x:xf>
    <x:xf numFmtId="0" fontId="6" fillId="5" borderId="1" xfId="0" applyNumberFormat="1" applyFont="1" applyFill="1" applyBorder="1" applyAlignment="1">
      <x:alignment horizontal="left" vertical="center"/>
    </x:xf>
    <x:xf numFmtId="0" fontId="6" fillId="5" borderId="2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2" xfId="0" applyNumberFormat="1" applyFont="1" applyFill="1" applyBorder="1" applyAlignment="1">
      <x:alignment horizontal="left" vertical="center"/>
    </x:xf>
    <x:xf numFmtId="0" fontId="7" fillId="5" borderId="3" xfId="0" applyNumberFormat="1" applyFont="1" applyFill="1" applyBorder="1" applyAlignment="1">
      <x:alignment horizontal="left" vertical="center"/>
    </x:xf>
    <x:xf numFmtId="0" fontId="7" fillId="5" borderId="4" xfId="0" applyNumberFormat="1" applyFont="1" applyFill="1" applyBorder="1" applyAlignment="1">
      <x:alignment horizontal="left" vertical="center"/>
    </x:xf>
    <x:xf numFmtId="0" fontId="7" fillId="6" borderId="3" xfId="0" applyNumberFormat="1" applyFont="1" applyFill="1" applyBorder="1" applyAlignment="1">
      <x:alignment horizontal="left" vertical="center"/>
    </x:xf>
    <x:xf numFmtId="201" fontId="7" fillId="5" borderId="3" xfId="0" applyNumberFormat="1" applyFont="1" applyFill="1" applyBorder="1" applyAlignment="1">
      <x:alignment horizontal="left" vertical="center"/>
    </x:xf>
    <x:xf numFmtId="201" fontId="7" fillId="5" borderId="4" xfId="0" applyNumberFormat="1" applyFont="1" applyFill="1" applyBorder="1" applyAlignment="1">
      <x:alignment horizontal="left" vertical="center"/>
    </x:xf>
    <x:xf numFmtId="201" fontId="7" fillId="6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201" fontId="0" fillId="0" borderId="6" xfId="0" applyNumberFormat="1" applyFont="1" applyFill="1" applyBorder="1"/>
    <x:xf numFmtId="201" fontId="0" fillId="0" borderId="1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horizontal="left" vertical="center"/>
    </x:xf>
    <x:xf numFmtId="0" fontId="11" fillId="5" borderId="2" xfId="0" applyNumberFormat="1" applyFont="1" applyFill="1" applyBorder="1" applyAlignment="1">
      <x:alignment horizontal="left" vertical="center"/>
    </x:xf>
    <x:xf numFmtId="0" fontId="11" fillId="6" borderId="1" xfId="0" applyNumberFormat="1" applyFont="1" applyFill="1" applyBorder="1" applyAlignment="1">
      <x:alignment horizontal="left" vertical="center"/>
    </x:xf>
    <x:xf numFmtId="0" fontId="11" fillId="6" borderId="2" xfId="0" applyNumberFormat="1" applyFont="1" applyFill="1" applyBorder="1" applyAlignment="1">
      <x:alignment horizontal="left" vertical="center"/>
    </x:xf>
    <x:xf numFmtId="201" fontId="12" fillId="5" borderId="3" xfId="0" applyNumberFormat="1" applyFont="1" applyFill="1" applyBorder="1" applyAlignment="1">
      <x:alignment horizontal="left" vertical="center"/>
    </x:xf>
    <x:xf numFmtId="201" fontId="12" fillId="5" borderId="4" xfId="0" applyNumberFormat="1" applyFont="1" applyFill="1" applyBorder="1" applyAlignment="1">
      <x:alignment horizontal="left" vertical="center"/>
    </x:xf>
    <x:xf numFmtId="201" fontId="12" fillId="6" borderId="3" xfId="0" applyNumberFormat="1" applyFont="1" applyFill="1" applyBorder="1" applyAlignment="1">
      <x:alignment horizontal="left" vertical="center"/>
    </x:xf>
    <x:xf numFmtId="0" fontId="9" fillId="6" borderId="4" xfId="0" applyNumberFormat="1" applyFont="1" applyFill="1" applyBorder="1" applyAlignment="1">
      <x:alignment horizontal="left" vertical="center"/>
    </x:xf>
    <x:xf numFmtId="0" fontId="11" fillId="2" borderId="4" xfId="0" applyNumberFormat="1" applyFont="1" applyFill="1" applyBorder="1" applyAlignment="1">
      <x:alignment vertical="center" wrapText="1"/>
    </x:xf>
    <x:xf numFmtId="0" fontId="11" fillId="2" borderId="3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/>
    <x:xf numFmtId="201" fontId="9" fillId="0" borderId="6" xfId="0" applyNumberFormat="1" applyFont="1" applyFill="1" applyBorder="1"/>
    <x:xf numFmtId="0" fontId="9" fillId="0" borderId="2" xfId="0" applyNumberFormat="1" applyFont="1" applyFill="1" applyBorder="1"/>
    <x:xf numFmtId="201" fontId="9" fillId="0" borderId="1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7" xfId="0" applyNumberFormat="1" applyFont="1" applyFill="1" applyBorder="1"/>
    <x:xf numFmtId="0" fontId="0" fillId="8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8" xfId="0" applyNumberFormat="1" applyFont="1" applyFill="1" applyBorder="1"/>
    <x:xf numFmtId="0" fontId="0" fillId="8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8" borderId="7" xfId="0" applyNumberFormat="1" applyFont="1" applyFill="1" applyBorder="1"/>
    <x:xf numFmtId="200" fontId="0" fillId="8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8B3A3A"/>
      </x:font>
      <x:fill>
        <x:patternFill>
          <x:bgColor rgb="FFFCE4E2"/>
        </x:patternFill>
      </x:fill>
    </x:dxf>
    <x:dxf>
      <x:font>
        <x:b/>
        <x:color rgb="FF9A5A20"/>
      </x:font>
      <x:fill>
        <x:patternFill>
          <x:bgColor rgb="FFFF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dd4e5a98f4461" /><Relationship Type="http://schemas.openxmlformats.org/officeDocument/2006/relationships/theme" Target="/xl/theme/theme1.xml" Id="R8e0fcf2c912441d5" /><Relationship Type="http://schemas.microsoft.com/office/2022/11/relationships/FeaturePropertyBag" Target="/xl/featurePropertyBag/featurePropertyBag.xml" Id="R62006d402df64bb2" /><Relationship Type="http://schemas.openxmlformats.org/officeDocument/2006/relationships/sharedStrings" Target="/xl/sharedStrings.xml" Id="Re9324a4b384a4786" /><Relationship Type="http://schemas.openxmlformats.org/officeDocument/2006/relationships/worksheet" Target="/xl/worksheets/sheet1.xml" Id="R29d1264120bd4fb0" /><Relationship Type="http://schemas.openxmlformats.org/officeDocument/2006/relationships/worksheet" Target="/xl/worksheets/sheet2.xml" Id="Rfc9cdbcbfb534d8b" /><Relationship Type="http://schemas.openxmlformats.org/officeDocument/2006/relationships/worksheet" Target="/xl/worksheets/sheet3.xml" Id="R5e13507cd8ae4060" /><Relationship Type="http://schemas.openxmlformats.org/officeDocument/2006/relationships/worksheet" Target="/xl/worksheets/sheet4.xml" Id="R2d85cc6d5c084591" /><Relationship Type="http://schemas.openxmlformats.org/officeDocument/2006/relationships/worksheet" Target="/xl/worksheets/sheet5.xml" Id="R437a3c0c451f4b3d" /><Relationship Type="http://schemas.openxmlformats.org/officeDocument/2006/relationships/worksheet" Target="/xl/worksheets/sheet6.xml" Id="R7886eda5697647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44c530b34e43e6" /><Relationship Type="http://schemas.openxmlformats.org/officeDocument/2006/relationships/chart" Target="/xl/drawings/charts/chart2.xml" Id="R16182a402d5449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Distribuicao por categoria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'Dashboard'!$A$8:$A$14</c:f>
              <c:strCache>
                <c:ptCount val="0"/>
              </c:strCache>
            </c:strRef>
          </c:cat>
          <c:val>
            <c:numRef>
              <c:f>'Dashboard'!$B$8:$B$14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Notificacoes por aplicativo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'Dashboard'!$D$8:$D$12</c:f>
              <c:strCache>
                <c:ptCount val="0"/>
              </c:strCache>
            </c:strRef>
          </c:cat>
          <c:val>
            <c:numRef>
              <c:f>'Dashboard'!$E$8:$E$12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44c530b34e43e6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182a402d54497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otificationsTable" displayName="NotificationsTable" ref="A1:K9" headerRowCount="1" totalsRowCount="0" totalsRowShown="0">
  <x:tableColumns count="11">
    <x:tableColumn id="1" name="ID"/>
    <x:tableColumn id="2" name="Device ID"/>
    <x:tableColumn id="3" name="Chave fonte"/>
    <x:tableColumn id="4" name="Pacote"/>
    <x:tableColumn id="5" name="Aplicativo"/>
    <x:tableColumn id="6" name="Titulo"/>
    <x:tableColumn id="7" name="Texto"/>
    <x:tableColumn id="8" name="Data notificacao"/>
    <x:tableColumn id="9" name="Categoria"/>
    <x:tableColumn id="10" name="Sensivel?"/>
    <x:tableColumn id="11" name="Recebido em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1:E6" headerRowCount="1" totalsRowCount="0" totalsRowShown="0">
  <x:tableColumns count="5">
    <x:tableColumn id="1" name="Pacote"/>
    <x:tableColumn id="2" name="Aplicativo"/>
    <x:tableColumn id="3" name="Categoria"/>
    <x:tableColumn id="4" name="Incluir?"/>
    <x:tableColumn id="5" name="Sensivel?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pplicationsTable" displayName="ApplicationsTable" ref="A1:G6" headerRowCount="1" totalsRowCount="0" totalsRowShown="0">
  <x:tableColumns count="7">
    <x:tableColumn id="1" name="Pacote"/>
    <x:tableColumn id="2" name="Aplicativo"/>
    <x:tableColumn id="3" name="Categoria"/>
    <x:tableColumn id="4" name="Quantidade"/>
    <x:tableColumn id="5" name="Primeira notificacao"/>
    <x:tableColumn id="6" name="Ultima notificacao"/>
    <x:tableColumn id="7" name="Sensivel?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dfba94ceb241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902cb9c8fb4a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e830aeeeaf47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723f84c0779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25" hidden="0" customWidth="1"/>
    <x:col min="4" max="4" width="28" hidden="0" customWidth="1"/>
    <x:col min="5" max="5" width="25" hidden="0" customWidth="1"/>
    <x:col min="6" max="6" width="28" hidden="0" customWidth="1"/>
    <x:col min="7" max="7" width="46" hidden="0" customWidth="1"/>
    <x:col min="8" max="8" width="21" hidden="0" customWidth="1"/>
    <x:col min="9" max="9" width="18" hidden="0" customWidth="1"/>
    <x:col min="10" max="10" width="12" hidden="0" customWidth="1"/>
    <x:col min="11" max="11" width="21" hidden="0" customWidth="1"/>
  </x:cols>
  <x:sheetData>
    <x:row r="1" ht="30" customHeight="1">
      <x:c r="A1" s="5" t="str">
        <x:v>ID</x:v>
      </x:c>
      <x:c r="B1" s="5" t="str">
        <x:v>Device ID</x:v>
      </x:c>
      <x:c r="C1" s="5" t="str">
        <x:v>Chave fonte</x:v>
      </x:c>
      <x:c r="D1" s="5" t="str">
        <x:v>Pacote</x:v>
      </x:c>
      <x:c r="E1" s="5" t="str">
        <x:v>Aplicativo</x:v>
      </x:c>
      <x:c r="F1" s="5" t="str">
        <x:v>Titulo</x:v>
      </x:c>
      <x:c r="G1" s="5" t="str">
        <x:v>Texto</x:v>
      </x:c>
      <x:c r="H1" s="5" t="str">
        <x:v>Data notificacao</x:v>
      </x:c>
      <x:c r="I1" s="5" t="str">
        <x:v>Categoria</x:v>
      </x:c>
      <x:c r="J1" s="5" t="str">
        <x:v>Sensivel?</x:v>
      </x:c>
      <x:c r="K1" s="5" t="str">
        <x:v>Recebido em</x:v>
      </x:c>
    </x:row>
    <x:row r="2">
      <x:c r="A2" t="str">
        <x:v>EXEMPLO-001</x:v>
      </x:c>
      <x:c r="B2" t="str">
        <x:v>xiaomi-redmi-note-6-pro</x:v>
      </x:c>
      <x:c r="C2" t="str">
        <x:v>demo|whatsapp|1</x:v>
      </x:c>
      <x:c r="D2" t="str">
        <x:v>com.whatsapp</x:v>
      </x:c>
      <x:c r="E2" t="str">
        <x:v>WhatsApp</x:v>
      </x:c>
      <x:c r="F2" s="7" t="str">
        <x:v>Ana</x:v>
      </x:c>
      <x:c r="G2" s="7" t="str">
        <x:v>Reuniao confirmada para amanha</x:v>
      </x:c>
      <x:c r="H2" s="6" t="n">
        <x:v>46250.98821271991</x:v>
      </x:c>
      <x:c r="I2" t="str">
        <x:v>Mensagens</x:v>
      </x:c>
      <x:c r="J2" s="1" t="b">
        <x:v>0</x:v>
      </x:c>
      <x:c r="K2" s="6" t="n">
        <x:v>46250.98890716435</x:v>
      </x:c>
    </x:row>
    <x:row r="3">
      <x:c r="A3" t="str">
        <x:v>EXEMPLO-002</x:v>
      </x:c>
      <x:c r="B3" t="str">
        <x:v>xiaomi-redmi-note-6-pro</x:v>
      </x:c>
      <x:c r="C3" t="str">
        <x:v>demo|whatsapp|2</x:v>
      </x:c>
      <x:c r="D3" t="str">
        <x:v>com.whatsapp</x:v>
      </x:c>
      <x:c r="E3" t="str">
        <x:v>WhatsApp</x:v>
      </x:c>
      <x:c r="F3" s="7" t="str">
        <x:v>Equipe</x:v>
      </x:c>
      <x:c r="G3" s="7" t="str">
        <x:v>Documento atualizado</x:v>
      </x:c>
      <x:c r="H3" s="6" t="n">
        <x:v>46250.97015716435</x:v>
      </x:c>
      <x:c r="I3" t="str">
        <x:v>Mensagens</x:v>
      </x:c>
      <x:c r="J3" s="1" t="b">
        <x:v>0</x:v>
      </x:c>
      <x:c r="K3" s="6" t="n">
        <x:v>46250.9708516088</x:v>
      </x:c>
    </x:row>
    <x:row r="4">
      <x:c r="A4" t="str">
        <x:v>EXEMPLO-003</x:v>
      </x:c>
      <x:c r="B4" t="str">
        <x:v>xiaomi-redmi-note-6-pro</x:v>
      </x:c>
      <x:c r="C4" t="str">
        <x:v>demo|nubank|1</x:v>
      </x:c>
      <x:c r="D4" t="str">
        <x:v>com.nu.production</x:v>
      </x:c>
      <x:c r="E4" t="str">
        <x:v>Nubank</x:v>
      </x:c>
      <x:c r="F4" s="7" t="str">
        <x:v>Compra aprovada</x:v>
      </x:c>
      <x:c r="G4" s="7" t="str">
        <x:v>Compra de exemplo - R$ 42,90</x:v>
      </x:c>
      <x:c r="H4" s="6" t="n">
        <x:v>46250.958351608795</x:v>
      </x:c>
      <x:c r="I4" t="str">
        <x:v>Financeiro</x:v>
      </x:c>
      <x:c r="J4" s="1" t="b">
        <x:v>1</x:v>
      </x:c>
      <x:c r="K4" s="6" t="n">
        <x:v>46250.95904605324</x:v>
      </x:c>
    </x:row>
    <x:row r="5">
      <x:c r="A5" t="str">
        <x:v>EXEMPLO-004</x:v>
      </x:c>
      <x:c r="B5" t="str">
        <x:v>xiaomi-redmi-note-6-pro</x:v>
      </x:c>
      <x:c r="C5" t="str">
        <x:v>demo|nubank|2</x:v>
      </x:c>
      <x:c r="D5" t="str">
        <x:v>com.nu.production</x:v>
      </x:c>
      <x:c r="E5" t="str">
        <x:v>Nubank</x:v>
      </x:c>
      <x:c r="F5" s="7" t="str">
        <x:v>Pix recebido</x:v>
      </x:c>
      <x:c r="G5" s="7" t="str">
        <x:v>Transferencia demonstrativa</x:v>
      </x:c>
      <x:c r="H5" s="6" t="n">
        <x:v>46250.923629386576</x:v>
      </x:c>
      <x:c r="I5" t="str">
        <x:v>Financeiro</x:v>
      </x:c>
      <x:c r="J5" s="1" t="b">
        <x:v>1</x:v>
      </x:c>
      <x:c r="K5" s="6" t="n">
        <x:v>46250.924323831015</x:v>
      </x:c>
    </x:row>
    <x:row r="6">
      <x:c r="A6" t="str">
        <x:v>EXEMPLO-005</x:v>
      </x:c>
      <x:c r="B6" t="str">
        <x:v>xiaomi-redmi-note-6-pro</x:v>
      </x:c>
      <x:c r="C6" t="str">
        <x:v>demo|gmail|1</x:v>
      </x:c>
      <x:c r="D6" t="str">
        <x:v>com.google.android.gm</x:v>
      </x:c>
      <x:c r="E6" t="str">
        <x:v>Gmail</x:v>
      </x:c>
      <x:c r="F6" s="7" t="str">
        <x:v>Relatorio semanal</x:v>
      </x:c>
      <x:c r="G6" s="7" t="str">
        <x:v>Mensagem de demonstracao</x:v>
      </x:c>
      <x:c r="H6" s="6" t="n">
        <x:v>46250.87154605324</x:v>
      </x:c>
      <x:c r="I6" t="str">
        <x:v>Trabalho</x:v>
      </x:c>
      <x:c r="J6" s="1" t="b">
        <x:v>0</x:v>
      </x:c>
      <x:c r="K6" s="6" t="n">
        <x:v>46250.87224049769</x:v>
      </x:c>
    </x:row>
    <x:row r="7">
      <x:c r="A7" t="str">
        <x:v>EXEMPLO-006</x:v>
      </x:c>
      <x:c r="B7" t="str">
        <x:v>xiaomi-redmi-note-6-pro</x:v>
      </x:c>
      <x:c r="C7" t="str">
        <x:v>demo|calendar|1</x:v>
      </x:c>
      <x:c r="D7" t="str">
        <x:v>com.google.android.calendar</x:v>
      </x:c>
      <x:c r="E7" t="str">
        <x:v>Agenda</x:v>
      </x:c>
      <x:c r="F7" s="7" t="str">
        <x:v>Compromisso em 30 minutos</x:v>
      </x:c>
      <x:c r="G7" s="7" t="str">
        <x:v>Evento de exemplo</x:v>
      </x:c>
      <x:c r="H7" s="6" t="n">
        <x:v>46250.829879386576</x:v>
      </x:c>
      <x:c r="I7" t="str">
        <x:v>Trabalho</x:v>
      </x:c>
      <x:c r="J7" s="1" t="b">
        <x:v>0</x:v>
      </x:c>
      <x:c r="K7" s="6" t="n">
        <x:v>46250.830573831015</x:v>
      </x:c>
    </x:row>
    <x:row r="8">
      <x:c r="A8" t="str">
        <x:v>EXEMPLO-007</x:v>
      </x:c>
      <x:c r="B8" t="str">
        <x:v>xiaomi-redmi-note-6-pro</x:v>
      </x:c>
      <x:c r="C8" t="str">
        <x:v>demo|xiaomi|1</x:v>
      </x:c>
      <x:c r="D8" t="str">
        <x:v>com.xiaomi.simactivate.service</x:v>
      </x:c>
      <x:c r="E8" t="str">
        <x:v>Servico de Ativacao do SIM Xiaomi</x:v>
      </x:c>
      <x:c r="F8" s="7" t="str">
        <x:v>Obtendo informacoes...</x:v>
      </x:c>
      <x:c r="G8" s="7" t="str">
        <x:v>Registro demonstrativo</x:v>
      </x:c>
      <x:c r="H8" s="6" t="n">
        <x:v>46250.788212719905</x:v>
      </x:c>
      <x:c r="I8" t="str">
        <x:v>Sistema</x:v>
      </x:c>
      <x:c r="J8" s="1" t="b">
        <x:v>0</x:v>
      </x:c>
      <x:c r="K8" s="6" t="n">
        <x:v>46250.78890716435</x:v>
      </x:c>
    </x:row>
    <x:row r="9">
      <x:c r="A9" t="str">
        <x:v>EXEMPLO-008</x:v>
      </x:c>
      <x:c r="B9" t="str">
        <x:v>xiaomi-redmi-note-6-pro</x:v>
      </x:c>
      <x:c r="C9" t="str">
        <x:v>demo|whatsapp|3</x:v>
      </x:c>
      <x:c r="D9" t="str">
        <x:v>com.whatsapp</x:v>
      </x:c>
      <x:c r="E9" t="str">
        <x:v>WhatsApp</x:v>
      </x:c>
      <x:c r="F9" s="7" t="str">
        <x:v>Carlos</x:v>
      </x:c>
      <x:c r="G9" s="7" t="str">
        <x:v>Lembrete de demonstracao</x:v>
      </x:c>
      <x:c r="H9" s="6" t="n">
        <x:v>46250.73265716435</x:v>
      </x:c>
      <x:c r="I9" t="str">
        <x:v>Mensagens</x:v>
      </x:c>
      <x:c r="J9" s="1" t="b">
        <x:v>0</x:v>
      </x:c>
      <x:c r="K9" s="6" t="n">
        <x:v>46250.7333516088</x:v>
      </x:c>
    </x:row>
  </x:sheetData>
  <x:conditionalFormatting sqref="J2:J200">
    <x:cfRule type="cellIs" dxfId="0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dfba94ceb241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14" hidden="0" customWidth="1"/>
    <x:col min="5" max="5" width="14" hidden="0" customWidth="1"/>
  </x:cols>
  <x:sheetData>
    <x:row r="1" ht="30" customHeight="1">
      <x:c r="A1" s="5" t="str">
        <x:v>Pacote</x:v>
      </x:c>
      <x:c r="B1" s="5" t="str">
        <x:v>Aplicativo</x:v>
      </x:c>
      <x:c r="C1" s="5" t="str">
        <x:v>Categoria</x:v>
      </x:c>
      <x:c r="D1" s="5" t="str">
        <x:v>Incluir?</x:v>
      </x:c>
      <x:c r="E1" s="5" t="str">
        <x:v>Sensivel?</x:v>
      </x:c>
    </x:row>
    <x:row r="2">
      <x:c r="A2" t="str">
        <x:v>com.whatsapp</x:v>
      </x:c>
      <x:c r="B2" t="str">
        <x:v>WhatsApp</x:v>
      </x:c>
      <x:c r="C2" t="str">
        <x:v>Mensagens</x:v>
      </x:c>
      <x:c r="D2" s="1" t="b">
        <x:v>1</x:v>
      </x:c>
      <x:c r="E2" s="1" t="b">
        <x:v>0</x:v>
      </x:c>
    </x:row>
    <x:row r="3">
      <x:c r="A3" t="str">
        <x:v>com.nu.production</x:v>
      </x:c>
      <x:c r="B3" t="str">
        <x:v>Nubank</x:v>
      </x:c>
      <x:c r="C3" t="str">
        <x:v>Financeiro</x:v>
      </x:c>
      <x:c r="D3" s="1" t="b">
        <x:v>1</x:v>
      </x:c>
      <x:c r="E3" s="1" t="b">
        <x:v>1</x:v>
      </x:c>
    </x:row>
    <x:row r="4">
      <x:c r="A4" t="str">
        <x:v>com.google.android.gm</x:v>
      </x:c>
      <x:c r="B4" t="str">
        <x:v>Gmail</x:v>
      </x:c>
      <x:c r="C4" t="str">
        <x:v>Trabalho</x:v>
      </x:c>
      <x:c r="D4" s="1" t="b">
        <x:v>1</x:v>
      </x:c>
      <x:c r="E4" s="1" t="b">
        <x:v>0</x:v>
      </x:c>
    </x:row>
    <x:row r="5">
      <x:c r="A5" t="str">
        <x:v>com.google.android.calendar</x:v>
      </x:c>
      <x:c r="B5" t="str">
        <x:v>Agenda</x:v>
      </x:c>
      <x:c r="C5" t="str">
        <x:v>Trabalho</x:v>
      </x:c>
      <x:c r="D5" s="1" t="b">
        <x:v>1</x:v>
      </x:c>
      <x:c r="E5" s="1" t="b">
        <x:v>0</x:v>
      </x:c>
    </x:row>
    <x:row r="6">
      <x:c r="A6" t="str">
        <x:v>com.xiaomi.simactivate.service</x:v>
      </x:c>
      <x:c r="B6" t="str">
        <x:v>Servico de Ativacao do SIM Xiaomi</x:v>
      </x:c>
      <x:c r="C6" t="str">
        <x:v>Sistema</x:v>
      </x:c>
      <x:c r="D6" s="1" t="b">
        <x:v>0</x:v>
      </x:c>
      <x:c r="E6" s="1" t="b">
        <x:v>0</x:v>
      </x:c>
    </x:row>
  </x:sheetData>
  <x:conditionalFormatting sqref="D2:E50">
    <x:cfRule type="cellIs" dxfId="1" priority="1" operator="equal">
      <x:formula>FALSE</x:formula>
    </x:cfRule>
  </x:conditionalFormatting>
  <x:dataValidations count="2">
    <x:dataValidation type="list" sqref="C2:C50">
      <x:formula1>"Financeiro,Mensagens,Trabalho,Sistema,Seguranca,Compras,Pessoal,Sem categoria"</x:formula1>
    </x:dataValidation>
    <x:dataValidation type="list" sqref="D2:E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902cb9c8fb4a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14" hidden="0" customWidth="1"/>
    <x:col min="5" max="5" width="22" hidden="0" customWidth="1"/>
    <x:col min="6" max="6" width="22" hidden="0" customWidth="1"/>
    <x:col min="7" max="7" width="14" hidden="0" customWidth="1"/>
  </x:cols>
  <x:sheetData>
    <x:row r="1" ht="30" customHeight="1">
      <x:c r="A1" s="5" t="str">
        <x:v>Pacote</x:v>
      </x:c>
      <x:c r="B1" s="5" t="str">
        <x:v>Aplicativo</x:v>
      </x:c>
      <x:c r="C1" s="5" t="str">
        <x:v>Categoria</x:v>
      </x:c>
      <x:c r="D1" s="5" t="str">
        <x:v>Quantidade</x:v>
      </x:c>
      <x:c r="E1" s="5" t="str">
        <x:v>Primeira notificacao</x:v>
      </x:c>
      <x:c r="F1" s="5" t="str">
        <x:v>Ultima notificacao</x:v>
      </x:c>
      <x:c r="G1" s="5" t="str">
        <x:v>Sensivel?</x:v>
      </x:c>
    </x:row>
    <x:row r="2">
      <x:c r="A2" t="str">
        <x:f>'Categorias'!A2</x:f>
        <x:v>com.whatsapp</x:v>
      </x:c>
      <x:c r="B2" t="str">
        <x:f>'Categorias'!B2</x:f>
        <x:v>WhatsApp</x:v>
      </x:c>
      <x:c r="C2" t="str">
        <x:f>'Categorias'!C2</x:f>
        <x:v>Mensagens</x:v>
      </x:c>
      <x:c r="D2" s="8" t="n">
        <x:f>COUNTIF('Notificacoes'!$D$2:$D$1001,A2)</x:f>
        <x:v>3</x:v>
      </x:c>
      <x:c r="E2" s="6" t="n">
        <x:f>IF(D2=0,"",MINIFS('Notificacoes'!$H$2:$H$1001,'Notificacoes'!$D$2:$D$1001,A2))</x:f>
        <x:v>46250.73265716435</x:v>
      </x:c>
      <x:c r="F2" s="6" t="n">
        <x:f>IF(D2=0,"",MAXIFS('Notificacoes'!$H$2:$H$1001,'Notificacoes'!$D$2:$D$1001,A2))</x:f>
        <x:v>46250.98821271991</x:v>
      </x:c>
      <x:c r="G2" t="b">
        <x:f>'Categorias'!E2</x:f>
        <x:v>0</x:v>
      </x:c>
    </x:row>
    <x:row r="3">
      <x:c r="A3" t="str">
        <x:f>'Categorias'!A3</x:f>
        <x:v>com.nu.production</x:v>
      </x:c>
      <x:c r="B3" t="str">
        <x:f>'Categorias'!B3</x:f>
        <x:v>Nubank</x:v>
      </x:c>
      <x:c r="C3" t="str">
        <x:f>'Categorias'!C3</x:f>
        <x:v>Financeiro</x:v>
      </x:c>
      <x:c r="D3" s="8" t="n">
        <x:f>COUNTIF('Notificacoes'!$D$2:$D$1001,A3)</x:f>
        <x:v>2</x:v>
      </x:c>
      <x:c r="E3" s="6" t="n">
        <x:f>IF(D3=0,"",MINIFS('Notificacoes'!$H$2:$H$1001,'Notificacoes'!$D$2:$D$1001,A3))</x:f>
        <x:v>46250.923629386576</x:v>
      </x:c>
      <x:c r="F3" s="6" t="n">
        <x:f>IF(D3=0,"",MAXIFS('Notificacoes'!$H$2:$H$1001,'Notificacoes'!$D$2:$D$1001,A3))</x:f>
        <x:v>46250.958351608795</x:v>
      </x:c>
      <x:c r="G3" t="b">
        <x:f>'Categorias'!E3</x:f>
        <x:v>1</x:v>
      </x:c>
    </x:row>
    <x:row r="4">
      <x:c r="A4" t="str">
        <x:f>'Categorias'!A4</x:f>
        <x:v>com.google.android.gm</x:v>
      </x:c>
      <x:c r="B4" t="str">
        <x:f>'Categorias'!B4</x:f>
        <x:v>Gmail</x:v>
      </x:c>
      <x:c r="C4" t="str">
        <x:f>'Categorias'!C4</x:f>
        <x:v>Trabalho</x:v>
      </x:c>
      <x:c r="D4" s="8" t="n">
        <x:f>COUNTIF('Notificacoes'!$D$2:$D$1001,A4)</x:f>
        <x:v>1</x:v>
      </x:c>
      <x:c r="E4" s="6" t="n">
        <x:f>IF(D4=0,"",MINIFS('Notificacoes'!$H$2:$H$1001,'Notificacoes'!$D$2:$D$1001,A4))</x:f>
        <x:v>46250.87154605324</x:v>
      </x:c>
      <x:c r="F4" s="6" t="n">
        <x:f>IF(D4=0,"",MAXIFS('Notificacoes'!$H$2:$H$1001,'Notificacoes'!$D$2:$D$1001,A4))</x:f>
        <x:v>46250.87154605324</x:v>
      </x:c>
      <x:c r="G4" t="b">
        <x:f>'Categorias'!E4</x:f>
        <x:v>0</x:v>
      </x:c>
    </x:row>
    <x:row r="5">
      <x:c r="A5" t="str">
        <x:f>'Categorias'!A5</x:f>
        <x:v>com.google.android.calendar</x:v>
      </x:c>
      <x:c r="B5" t="str">
        <x:f>'Categorias'!B5</x:f>
        <x:v>Agenda</x:v>
      </x:c>
      <x:c r="C5" t="str">
        <x:f>'Categorias'!C5</x:f>
        <x:v>Trabalho</x:v>
      </x:c>
      <x:c r="D5" s="8" t="n">
        <x:f>COUNTIF('Notificacoes'!$D$2:$D$1001,A5)</x:f>
        <x:v>1</x:v>
      </x:c>
      <x:c r="E5" s="6" t="n">
        <x:f>IF(D5=0,"",MINIFS('Notificacoes'!$H$2:$H$1001,'Notificacoes'!$D$2:$D$1001,A5))</x:f>
        <x:v>46250.829879386576</x:v>
      </x:c>
      <x:c r="F5" s="6" t="n">
        <x:f>IF(D5=0,"",MAXIFS('Notificacoes'!$H$2:$H$1001,'Notificacoes'!$D$2:$D$1001,A5))</x:f>
        <x:v>46250.829879386576</x:v>
      </x:c>
      <x:c r="G5" t="b">
        <x:f>'Categorias'!E5</x:f>
        <x:v>0</x:v>
      </x:c>
    </x:row>
    <x:row r="6">
      <x:c r="A6" t="str">
        <x:f>'Categorias'!A6</x:f>
        <x:v>com.xiaomi.simactivate.service</x:v>
      </x:c>
      <x:c r="B6" t="str">
        <x:f>'Categorias'!B6</x:f>
        <x:v>Servico de Ativacao do SIM Xiaomi</x:v>
      </x:c>
      <x:c r="C6" t="str">
        <x:f>'Categorias'!C6</x:f>
        <x:v>Sistema</x:v>
      </x:c>
      <x:c r="D6" s="8" t="n">
        <x:f>COUNTIF('Notificacoes'!$D$2:$D$1001,A6)</x:f>
        <x:v>1</x:v>
      </x:c>
      <x:c r="E6" s="6" t="n">
        <x:f>IF(D6=0,"",MINIFS('Notificacoes'!$H$2:$H$1001,'Notificacoes'!$D$2:$D$1001,A6))</x:f>
        <x:v>46250.788212719905</x:v>
      </x:c>
      <x:c r="F6" s="6" t="n">
        <x:f>IF(D6=0,"",MAXIFS('Notificacoes'!$H$2:$H$1001,'Notificacoes'!$D$2:$D$1001,A6))</x:f>
        <x:v>46250.788212719905</x:v>
      </x:c>
      <x:c r="G6" t="b">
        <x:f>'Categorias'!E6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e830aeeeaf47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78" t="str">
        <x:v>Notifica Arquivo - Dashboard</x:v>
      </x:c>
      <x:c r="B1" s="78" t="str">
        <x:v>Notifica Arquivo - Dashboard</x:v>
      </x:c>
      <x:c r="C1" s="78" t="str">
        <x:v>Notifica Arquivo - Dashboard</x:v>
      </x:c>
      <x:c r="D1" s="78" t="str">
        <x:v>Notifica Arquivo - Dashboard</x:v>
      </x:c>
      <x:c r="E1" s="78" t="str">
        <x:v>Notifica Arquivo - Dashboard</x:v>
      </x:c>
      <x:c r="F1" s="78" t="str">
        <x:v>Notifica Arquivo - Dashboard</x:v>
      </x:c>
      <x:c r="G1" s="78" t="str">
        <x:v>Notifica Arquivo - Dashboard</x:v>
      </x:c>
      <x:c r="H1" s="78" t="str">
        <x:v>Notifica Arquivo - Dashboard</x:v>
      </x:c>
      <x:c r="I1" s="62"/>
      <x:c r="J1" s="62"/>
      <x:c r="K1" s="62"/>
      <x:c r="L1" s="62"/>
      <x:c r="M1" s="62"/>
      <x:c r="N1" s="62"/>
    </x:row>
    <x:row r="2" ht="26" customHeight="1">
      <x:c r="A2" s="63" t="str">
        <x:v>Resumo dos dados recebidos do Android. As linhas EXEMPLO podem ser removidas pelo Apps Script.</x:v>
      </x:c>
      <x:c r="B2" s="63" t="str">
        <x:v>Resumo dos dados recebidos do Android. As linhas EXEMPLO podem ser removidas pelo Apps Script.</x:v>
      </x:c>
      <x:c r="C2" s="63" t="str">
        <x:v>Resumo dos dados recebidos do Android. As linhas EXEMPLO podem ser removidas pelo Apps Script.</x:v>
      </x:c>
      <x:c r="D2" s="63" t="str">
        <x:v>Resumo dos dados recebidos do Android. As linhas EXEMPLO podem ser removidas pelo Apps Script.</x:v>
      </x:c>
      <x:c r="E2" s="63" t="str">
        <x:v>Resumo dos dados recebidos do Android. As linhas EXEMPLO podem ser removidas pelo Apps Script.</x:v>
      </x:c>
      <x:c r="F2" s="63" t="str">
        <x:v>Resumo dos dados recebidos do Android. As linhas EXEMPLO podem ser removidas pelo Apps Script.</x:v>
      </x:c>
      <x:c r="G2" s="63" t="str">
        <x:v>Resumo dos dados recebidos do Android. As linhas EXEMPLO podem ser removidas pelo Apps Script.</x:v>
      </x:c>
      <x:c r="H2" s="63" t="str">
        <x:v>Resumo dos dados recebidos do Android. As linhas EXEMPLO podem ser removidas pelo Apps Script.</x:v>
      </x:c>
      <x:c r="I2" s="62"/>
      <x:c r="J2" s="62"/>
      <x:c r="K2" s="62"/>
      <x:c r="L2" s="62"/>
      <x:c r="M2" s="62"/>
      <x:c r="N2" s="62"/>
    </x:row>
    <x:row r="3" ht="22" customHeight="1">
      <x:c r="A3" s="64" t="str">
        <x:v>Total</x:v>
      </x:c>
      <x:c r="B3" s="65"/>
      <x:c r="C3" s="64" t="str">
        <x:v>Hoje</x:v>
      </x:c>
      <x:c r="D3" s="65"/>
      <x:c r="E3" s="64" t="str">
        <x:v>Aplicativos</x:v>
      </x:c>
      <x:c r="F3" s="65"/>
      <x:c r="G3" s="66" t="str">
        <x:v>Sensiveis</x:v>
      </x:c>
      <x:c r="H3" s="67"/>
      <x:c r="I3" s="62"/>
      <x:c r="J3" s="62"/>
      <x:c r="K3" s="62"/>
      <x:c r="L3" s="62"/>
      <x:c r="M3" s="62"/>
      <x:c r="N3" s="62"/>
    </x:row>
    <x:row r="4" ht="22" customHeight="1">
      <x:c r="A4" s="68" t="n">
        <x:f>COUNTA('Notificacoes'!$A$2:$A$1001)</x:f>
        <x:v>8</x:v>
      </x:c>
      <x:c r="B4" s="69"/>
      <x:c r="C4" s="68" t="n">
        <x:f>COUNTIFS('Notificacoes'!$H$2:$H$1001,"&gt;="&amp;TODAY(),'Notificacoes'!$H$2:$H$1001,"&lt;"&amp;TODAY()+1)</x:f>
        <x:v>8</x:v>
      </x:c>
      <x:c r="D4" s="69"/>
      <x:c r="E4" s="68" t="n">
        <x:f>COUNTIF('Aplicativos'!$D$2:$D$101,"&gt;0")</x:f>
        <x:v>5</x:v>
      </x:c>
      <x:c r="F4" s="69"/>
      <x:c r="G4" s="70" t="n">
        <x:f>SUMPRODUCT(--('Notificacoes'!$J$2:$J$1001=TRUE))</x:f>
        <x:v>2</x:v>
      </x:c>
      <x:c r="H4" s="71"/>
      <x:c r="I4" s="62"/>
      <x:c r="J4" s="62"/>
      <x:c r="K4" s="62"/>
      <x:c r="L4" s="62"/>
      <x:c r="M4" s="62"/>
      <x:c r="N4" s="62"/>
    </x:row>
    <x:row r="5" ht="22" customHeight="1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</x:row>
    <x:row r="6" ht="22" customHeight="1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</x:row>
    <x:row r="7" ht="22" customHeight="1">
      <x:c r="A7" s="72" t="str">
        <x:v>Categoria</x:v>
      </x:c>
      <x:c r="B7" s="73" t="str">
        <x:v>Quantidade</x:v>
      </x:c>
      <x:c r="C7" s="62"/>
      <x:c r="D7" s="72" t="str">
        <x:v>Aplicativo</x:v>
      </x:c>
      <x:c r="E7" s="73" t="str">
        <x:v>Quantidade</x:v>
      </x:c>
      <x:c r="F7" s="62"/>
      <x:c r="G7" s="62"/>
      <x:c r="H7" s="62"/>
      <x:c r="I7" s="62"/>
      <x:c r="J7" s="62"/>
      <x:c r="K7" s="62"/>
      <x:c r="L7" s="62"/>
      <x:c r="M7" s="62"/>
      <x:c r="N7" s="62"/>
    </x:row>
    <x:row r="8" ht="22" customHeight="1">
      <x:c r="A8" s="74" t="str">
        <x:v>Financeiro</x:v>
      </x:c>
      <x:c r="B8" s="75" t="n">
        <x:f>COUNTIF('Notificacoes'!$I$2:$I$1001,A8)</x:f>
        <x:v>2</x:v>
      </x:c>
      <x:c r="C8" s="62"/>
      <x:c r="D8" s="74" t="str">
        <x:f>'Aplicativos'!B2</x:f>
        <x:v>WhatsApp</x:v>
      </x:c>
      <x:c r="E8" s="75" t="n">
        <x:f>'Aplicativos'!D2</x:f>
        <x:v>3</x:v>
      </x:c>
      <x:c r="F8" s="62"/>
      <x:c r="G8" s="62"/>
      <x:c r="H8" s="62"/>
      <x:c r="I8" s="62"/>
      <x:c r="J8" s="62"/>
      <x:c r="K8" s="62"/>
      <x:c r="L8" s="62"/>
      <x:c r="M8" s="62"/>
      <x:c r="N8" s="62"/>
    </x:row>
    <x:row r="9" ht="22" customHeight="1">
      <x:c r="A9" s="74" t="str">
        <x:v>Mensagens</x:v>
      </x:c>
      <x:c r="B9" s="75" t="n">
        <x:f>COUNTIF('Notificacoes'!$I$2:$I$1001,A9)</x:f>
        <x:v>3</x:v>
      </x:c>
      <x:c r="C9" s="62"/>
      <x:c r="D9" s="74" t="str">
        <x:f>'Aplicativos'!B3</x:f>
        <x:v>Nubank</x:v>
      </x:c>
      <x:c r="E9" s="75" t="n">
        <x:f>'Aplicativos'!D3</x:f>
        <x:v>2</x:v>
      </x:c>
      <x:c r="F9" s="62"/>
      <x:c r="G9" s="62"/>
      <x:c r="H9" s="62"/>
      <x:c r="I9" s="62"/>
      <x:c r="J9" s="62"/>
      <x:c r="K9" s="62"/>
      <x:c r="L9" s="62"/>
      <x:c r="M9" s="62"/>
      <x:c r="N9" s="62"/>
    </x:row>
    <x:row r="10" ht="22" customHeight="1">
      <x:c r="A10" s="74" t="str">
        <x:v>Trabalho</x:v>
      </x:c>
      <x:c r="B10" s="75" t="n">
        <x:f>COUNTIF('Notificacoes'!$I$2:$I$1001,A10)</x:f>
        <x:v>2</x:v>
      </x:c>
      <x:c r="C10" s="62"/>
      <x:c r="D10" s="74" t="str">
        <x:f>'Aplicativos'!B4</x:f>
        <x:v>Gmail</x:v>
      </x:c>
      <x:c r="E10" s="75" t="n">
        <x:f>'Aplicativos'!D4</x:f>
        <x:v>1</x:v>
      </x:c>
      <x:c r="F10" s="62"/>
      <x:c r="G10" s="62"/>
      <x:c r="H10" s="62"/>
      <x:c r="I10" s="62"/>
      <x:c r="J10" s="62"/>
      <x:c r="K10" s="62"/>
      <x:c r="L10" s="62"/>
      <x:c r="M10" s="62"/>
      <x:c r="N10" s="62"/>
    </x:row>
    <x:row r="11" ht="22" customHeight="1">
      <x:c r="A11" s="74" t="str">
        <x:v>Sistema</x:v>
      </x:c>
      <x:c r="B11" s="75" t="n">
        <x:f>COUNTIF('Notificacoes'!$I$2:$I$1001,A11)</x:f>
        <x:v>1</x:v>
      </x:c>
      <x:c r="C11" s="62"/>
      <x:c r="D11" s="74" t="str">
        <x:f>'Aplicativos'!B5</x:f>
        <x:v>Agenda</x:v>
      </x:c>
      <x:c r="E11" s="75" t="n">
        <x:f>'Aplicativos'!D5</x:f>
        <x:v>1</x:v>
      </x:c>
      <x:c r="F11" s="62"/>
      <x:c r="G11" s="62"/>
      <x:c r="H11" s="62"/>
      <x:c r="I11" s="62"/>
      <x:c r="J11" s="62"/>
      <x:c r="K11" s="62"/>
      <x:c r="L11" s="62"/>
      <x:c r="M11" s="62"/>
      <x:c r="N11" s="62"/>
    </x:row>
    <x:row r="12" ht="22" customHeight="1">
      <x:c r="A12" s="74" t="str">
        <x:v>Seguranca</x:v>
      </x:c>
      <x:c r="B12" s="75" t="n">
        <x:f>COUNTIF('Notificacoes'!$I$2:$I$1001,A12)</x:f>
        <x:v>0</x:v>
      </x:c>
      <x:c r="C12" s="62"/>
      <x:c r="D12" s="76" t="str">
        <x:f>'Aplicativos'!B6</x:f>
        <x:v>Servico de Ativacao do SIM Xiaomi</x:v>
      </x:c>
      <x:c r="E12" s="77" t="n">
        <x:f>'Aplicativos'!D6</x:f>
        <x:v>1</x:v>
      </x:c>
      <x:c r="F12" s="62"/>
      <x:c r="G12" s="62"/>
      <x:c r="H12" s="62"/>
      <x:c r="I12" s="62"/>
      <x:c r="J12" s="62"/>
      <x:c r="K12" s="62"/>
      <x:c r="L12" s="62"/>
      <x:c r="M12" s="62"/>
      <x:c r="N12" s="62"/>
    </x:row>
    <x:row r="13" ht="22" customHeight="1">
      <x:c r="A13" s="74" t="str">
        <x:v>Compras</x:v>
      </x:c>
      <x:c r="B13" s="75" t="n">
        <x:f>COUNTIF('Notificacoes'!$I$2:$I$1001,A13)</x:f>
        <x:v>0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</x:row>
    <x:row r="14" ht="22" customHeight="1">
      <x:c r="A14" s="76" t="str">
        <x:v>Sem categoria</x:v>
      </x:c>
      <x:c r="B14" s="77" t="n">
        <x:f>COUNTIF('Notificacoes'!$I$2:$I$1001,A14)</x:f>
        <x:v>0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</x:row>
    <x:row r="15" ht="22" customHeight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</x:row>
    <x:row r="16" ht="22" customHeight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</x:row>
    <x:row r="17" ht="22" customHeight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</x:row>
    <x:row r="18" ht="22" customHeight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</x:row>
    <x:row r="19" ht="22" customHeight="1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</x:row>
    <x:row r="20" ht="22" customHeight="1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</x:row>
    <x:row r="21" ht="22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</x:row>
    <x:row r="22" ht="22" customHeight="1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</x:row>
    <x:row r="23" ht="22" customHeight="1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</x:row>
    <x:row r="24" ht="22" customHeight="1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</x:row>
    <x:row r="25" ht="22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</x:row>
    <x:row r="26" ht="22" customHeight="1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</x:row>
    <x:row r="27" ht="22" customHeight="1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</x:row>
    <x:row r="28" ht="22" customHeight="1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</x:row>
    <x:row r="29" ht="22" customHeight="1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</x:row>
    <x:row r="30" ht="22" customHeight="1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</x:row>
    <x:row r="31" ht="22" customHeight="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</x:row>
    <x:row r="32" ht="22" customHeight="1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</x:row>
    <x:row r="33" ht="22" customHeight="1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</x:row>
    <x:row r="34" ht="22" customHeight="1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723f84c07794c3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8" customHeight="1">
      <x:c r="A1" s="78" t="str">
        <x:v>Como usar</x:v>
      </x:c>
      <x:c r="B1" s="78" t="str">
        <x:v>Como usar</x:v>
      </x:c>
      <x:c r="C1" s="78" t="str">
        <x:v>Como usar</x:v>
      </x:c>
      <x:c r="D1" s="78" t="str">
        <x:v>Como usar</x:v>
      </x:c>
      <x:c r="E1" s="78" t="str">
        <x:v>Como usar</x:v>
      </x:c>
      <x:c r="F1" s="78" t="str">
        <x:v>Como usar</x:v>
      </x:c>
    </x:row>
    <x:row r="2" ht="26" customHeight="1">
      <x:c r="A2" s="63" t="str">
        <x:v>Fluxo: Android -&gt; Apps Script -&gt; Notificacoes -&gt; Dashboard</x:v>
      </x:c>
      <x:c r="B2" s="63" t="str">
        <x:v>Fluxo: Android -&gt; Apps Script -&gt; Notificacoes -&gt; Dashboard</x:v>
      </x:c>
      <x:c r="C2" s="63" t="str">
        <x:v>Fluxo: Android -&gt; Apps Script -&gt; Notificacoes -&gt; Dashboard</x:v>
      </x:c>
      <x:c r="D2" s="63" t="str">
        <x:v>Fluxo: Android -&gt; Apps Script -&gt; Notificacoes -&gt; Dashboard</x:v>
      </x:c>
      <x:c r="E2" s="63" t="str">
        <x:v>Fluxo: Android -&gt; Apps Script -&gt; Notificacoes -&gt; Dashboard</x:v>
      </x:c>
      <x:c r="F2" s="63" t="str">
        <x:v>Fluxo: Android -&gt; Apps Script -&gt; Notificacoes -&gt; Dashboard</x:v>
      </x:c>
    </x:row>
    <x:row r="3">
      <x:c r="A3" s="62"/>
      <x:c r="B3" s="62"/>
      <x:c r="C3" s="62"/>
      <x:c r="D3" s="62"/>
      <x:c r="E3" s="62"/>
      <x:c r="F3" s="62"/>
    </x:row>
    <x:row r="4" ht="30" customHeight="1">
      <x:c r="A4" s="72" t="str">
        <x:v>Etapa</x:v>
      </x:c>
      <x:c r="B4" s="73" t="str">
        <x:v>Acao</x:v>
      </x:c>
      <x:c r="C4" s="62"/>
      <x:c r="D4" s="62"/>
      <x:c r="E4" s="62"/>
      <x:c r="F4" s="62"/>
    </x:row>
    <x:row r="5">
      <x:c r="A5" s="74" t="n">
        <x:v>1</x:v>
      </x:c>
      <x:c r="B5" s="81" t="str">
        <x:v>Importe este arquivo no Google Drive e salve como Google Sheets.</x:v>
      </x:c>
      <x:c r="C5" s="62"/>
      <x:c r="D5" s="62"/>
      <x:c r="E5" s="62"/>
      <x:c r="F5" s="62"/>
    </x:row>
    <x:row r="6">
      <x:c r="A6" s="74" t="n">
        <x:v>2</x:v>
      </x:c>
      <x:c r="B6" s="81" t="str">
        <x:v>Abra Extensoes &gt; Apps Script e cole o arquivo Code.gs.</x:v>
      </x:c>
      <x:c r="C6" s="62"/>
      <x:c r="D6" s="62"/>
      <x:c r="E6" s="62"/>
      <x:c r="F6" s="62"/>
    </x:row>
    <x:row r="7">
      <x:c r="A7" s="74" t="n">
        <x:v>3</x:v>
      </x:c>
      <x:c r="B7" s="81" t="str">
        <x:v>Defina um token forte e execute configurarToken.</x:v>
      </x:c>
      <x:c r="C7" s="62"/>
      <x:c r="D7" s="62"/>
      <x:c r="E7" s="62"/>
      <x:c r="F7" s="62"/>
    </x:row>
    <x:row r="8">
      <x:c r="A8" s="74" t="n">
        <x:v>4</x:v>
      </x:c>
      <x:c r="B8" s="81" t="str">
        <x:v>Execute prepararPlanilha e implante como Aplicativo da Web.</x:v>
      </x:c>
      <x:c r="C8" s="62"/>
      <x:c r="D8" s="62"/>
      <x:c r="E8" s="62"/>
      <x:c r="F8" s="62"/>
    </x:row>
    <x:row r="9">
      <x:c r="A9" s="74" t="n">
        <x:v>5</x:v>
      </x:c>
      <x:c r="B9" s="81" t="str">
        <x:v>Cole a URL /exec e o token no aplicativo Android.</x:v>
      </x:c>
      <x:c r="C9" s="62"/>
      <x:c r="D9" s="62"/>
      <x:c r="E9" s="62"/>
      <x:c r="F9" s="62"/>
    </x:row>
    <x:row r="10">
      <x:c r="A10" s="76" t="n">
        <x:v>6</x:v>
      </x:c>
      <x:c r="B10" s="82" t="str">
        <x:v>Execute limparExemplos quando estiver pronto para usar dados reais.</x:v>
      </x:c>
      <x:c r="C10" s="62"/>
      <x:c r="D10" s="62"/>
      <x:c r="E10" s="62"/>
      <x:c r="F10" s="62"/>
    </x:row>
    <x:row r="11">
      <x:c r="A11" s="62"/>
      <x:c r="B11" s="83"/>
      <x:c r="C11" s="62"/>
      <x:c r="D11" s="62"/>
      <x:c r="E11" s="62"/>
      <x:c r="F11" s="62"/>
    </x:row>
    <x:row r="12" ht="30" customHeight="1">
      <x:c r="A12" s="72" t="str">
        <x:v>Aba</x:v>
      </x:c>
      <x:c r="B12" s="73" t="str">
        <x:v>Finalidade</x:v>
      </x:c>
      <x:c r="C12" s="62"/>
      <x:c r="D12" s="62"/>
      <x:c r="E12" s="62"/>
      <x:c r="F12" s="62"/>
    </x:row>
    <x:row r="13">
      <x:c r="A13" s="74" t="str">
        <x:v>Notificacoes</x:v>
      </x:c>
      <x:c r="B13" s="81" t="str">
        <x:v>Base bruta; uma linha por evento consolidado.</x:v>
      </x:c>
      <x:c r="C13" s="62"/>
      <x:c r="D13" s="62"/>
      <x:c r="E13" s="62"/>
      <x:c r="F13" s="62"/>
    </x:row>
    <x:row r="14">
      <x:c r="A14" s="74" t="str">
        <x:v>Categorias</x:v>
      </x:c>
      <x:c r="B14" s="81" t="str">
        <x:v>Regras editaveis de inclusao, categoria e sensibilidade.</x:v>
      </x:c>
      <x:c r="C14" s="62"/>
      <x:c r="D14" s="62"/>
      <x:c r="E14" s="62"/>
      <x:c r="F14" s="62"/>
    </x:row>
    <x:row r="15">
      <x:c r="A15" s="76" t="str">
        <x:v>Aplicativos</x:v>
      </x:c>
      <x:c r="B15" s="82" t="str">
        <x:v>Resumo por pacote; o Apps Script reconstrui esta aba.</x:v>
      </x:c>
      <x:c r="C15" s="62"/>
      <x:c r="D15" s="62"/>
      <x:c r="E15" s="62"/>
      <x:c r="F15" s="62"/>
    </x:row>
    <x:row r="16">
      <x:c r="A16" s="62" t="str">
        <x:v>Financeiro</x:v>
      </x:c>
      <x:c r="B16" s="83" t="str">
        <x:v>Copia automatica das notificacoes dos bancos escolhidos.</x:v>
      </x:c>
      <x:c r="C16" s="62"/>
      <x:c r="D16" s="62"/>
      <x:c r="E16" s="62"/>
      <x:c r="F16" s="62"/>
    </x:row>
    <x:row r="17">
      <x:c r="A17" s="62" t="str">
        <x:v>Documentacao oficial</x:v>
      </x:c>
      <x:c r="B17" s="83" t="str">
        <x:v>https://developers.google.com/apps-script/guides/web</x:v>
      </x:c>
      <x:c r="C17" s="62"/>
      <x:c r="D17" s="62"/>
      <x:c r="E17" s="62"/>
      <x:c r="F17" s="62"/>
    </x:row>
    <x:row r="18">
      <x:c r="A18" s="62" t="str">
        <x:v>Importar no Sheets</x:v>
      </x:c>
      <x:c r="B18" s="83" t="str">
        <x:v>https://support.google.com/a/users/answer/10665104</x:v>
      </x:c>
      <x:c r="C18" s="62"/>
      <x:c r="D18" s="62"/>
      <x:c r="E18" s="62"/>
      <x:c r="F18" s="62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30" hidden="0" customWidth="1"/>
    <x:col min="4" max="4" width="26.25" hidden="0" customWidth="1"/>
    <x:col min="5" max="5" width="18.75" hidden="0" customWidth="1"/>
    <x:col min="6" max="6" width="26.25" hidden="0" customWidth="1"/>
    <x:col min="7" max="7" width="45" hidden="0" customWidth="1"/>
    <x:col min="8" max="8" width="19.3799991607666" hidden="0" customWidth="1"/>
    <x:col min="9" max="9" width="15" hidden="0" customWidth="1"/>
    <x:col min="10" max="10" width="11.25" hidden="0" customWidth="1"/>
    <x:col min="11" max="11" width="19.3799991607666" hidden="0" customWidth="1"/>
  </x:cols>
  <x:sheetData>
    <x:row r="1" ht="24" customHeight="1">
      <x:c r="A1" s="86" t="str">
        <x:v>ID</x:v>
      </x:c>
      <x:c r="B1" s="86" t="str">
        <x:v>Device ID</x:v>
      </x:c>
      <x:c r="C1" s="86" t="str">
        <x:v>Chave fonte</x:v>
      </x:c>
      <x:c r="D1" s="86" t="str">
        <x:v>Pacote</x:v>
      </x:c>
      <x:c r="E1" s="86" t="str">
        <x:v>Aplicativo</x:v>
      </x:c>
      <x:c r="F1" s="86" t="str">
        <x:v>Titulo</x:v>
      </x:c>
      <x:c r="G1" s="86" t="str">
        <x:v>Texto</x:v>
      </x:c>
      <x:c r="H1" s="86" t="str">
        <x:v>Data notificacao</x:v>
      </x:c>
      <x:c r="I1" s="86" t="str">
        <x:v>Categoria</x:v>
      </x:c>
      <x:c r="J1" s="86" t="str">
        <x:v>Sensivel?</x:v>
      </x:c>
      <x:c r="K1" s="86" t="str">
        <x:v>Recebido em</x:v>
      </x:c>
    </x:row>
    <x:row r="2">
      <x:c r="A2" s="89" t="str">
        <x:v>EXEMPLO-003</x:v>
      </x:c>
      <x:c r="B2" s="89" t="str">
        <x:v>xiaomi-redmi-note-6-pro</x:v>
      </x:c>
      <x:c r="C2" s="89" t="str">
        <x:v>demo|nubank|1</x:v>
      </x:c>
      <x:c r="D2" s="89" t="str">
        <x:v>com.nu.production</x:v>
      </x:c>
      <x:c r="E2" s="89" t="str">
        <x:v>Nubank</x:v>
      </x:c>
      <x:c r="F2" s="89" t="str">
        <x:v>Compra aprovada</x:v>
      </x:c>
      <x:c r="G2" s="89" t="str">
        <x:v>Compra de exemplo - R$ 42,90</x:v>
      </x:c>
      <x:c r="H2" s="93" t="n">
        <x:v>46250.958351608795</x:v>
      </x:c>
      <x:c r="I2" s="89" t="str">
        <x:v>Financeiro</x:v>
      </x:c>
      <x:c r="J2" s="90" t="b">
        <x:v>1</x:v>
      </x:c>
      <x:c r="K2" s="93" t="n">
        <x:v>46250.95904605324</x:v>
      </x:c>
    </x:row>
    <x:row r="3">
      <x:c r="A3" s="91" t="str">
        <x:v>EXEMPLO-004</x:v>
      </x:c>
      <x:c r="B3" s="91" t="str">
        <x:v>xiaomi-redmi-note-6-pro</x:v>
      </x:c>
      <x:c r="C3" s="91" t="str">
        <x:v>demo|nubank|2</x:v>
      </x:c>
      <x:c r="D3" s="91" t="str">
        <x:v>com.nu.production</x:v>
      </x:c>
      <x:c r="E3" s="91" t="str">
        <x:v>Nubank</x:v>
      </x:c>
      <x:c r="F3" s="91" t="str">
        <x:v>Pix recebido</x:v>
      </x:c>
      <x:c r="G3" s="91" t="str">
        <x:v>Transferencia demonstrativa</x:v>
      </x:c>
      <x:c r="H3" s="94" t="n">
        <x:v>46250.923629386576</x:v>
      </x:c>
      <x:c r="I3" s="91" t="str">
        <x:v>Financeiro</x:v>
      </x:c>
      <x:c r="J3" s="92" t="b">
        <x:v>1</x:v>
      </x:c>
      <x:c r="K3" s="94" t="n">
        <x:v>46250.924323831015</x:v>
      </x:c>
    </x:row>
    <x:row r="4">
      <x:c r="H4" s="6"/>
      <x:c r="K4" s="6"/>
    </x:row>
    <x:row r="5">
      <x:c r="H5" s="6"/>
      <x:c r="K5" s="6"/>
    </x:row>
    <x:row r="6">
      <x:c r="H6" s="6"/>
      <x:c r="K6" s="6"/>
    </x:row>
    <x:row r="7">
      <x:c r="H7" s="6"/>
      <x:c r="K7" s="6"/>
    </x:row>
    <x:row r="8">
      <x:c r="H8" s="6"/>
      <x:c r="K8" s="6"/>
    </x:row>
    <x:row r="9">
      <x:c r="H9" s="6"/>
      <x:c r="K9" s="6"/>
    </x:row>
    <x:row r="10">
      <x:c r="H10" s="6"/>
      <x:c r="K10" s="6"/>
    </x:row>
    <x:row r="11">
      <x:c r="H11" s="6"/>
      <x:c r="K11" s="6"/>
    </x:row>
    <x:row r="12">
      <x:c r="H12" s="6"/>
      <x:c r="K12" s="6"/>
    </x:row>
    <x:row r="13">
      <x:c r="H13" s="6"/>
      <x:c r="K13" s="6"/>
    </x:row>
    <x:row r="14">
      <x:c r="H14" s="6"/>
      <x:c r="K14" s="6"/>
    </x:row>
    <x:row r="15">
      <x:c r="H15" s="6"/>
      <x:c r="K15" s="6"/>
    </x:row>
    <x:row r="16">
      <x:c r="H16" s="6"/>
      <x:c r="K16" s="6"/>
    </x:row>
    <x:row r="17">
      <x:c r="H17" s="6"/>
      <x:c r="K17" s="6"/>
    </x:row>
    <x:row r="18">
      <x:c r="H18" s="6"/>
      <x:c r="K18" s="6"/>
    </x:row>
    <x:row r="19">
      <x:c r="H19" s="6"/>
      <x:c r="K19" s="6"/>
    </x:row>
    <x:row r="20">
      <x:c r="H20" s="6"/>
      <x:c r="K20" s="6"/>
    </x:row>
  </x:sheetData>
  <x:pageMargins left="0.7" right="0.7" top="0.75" bottom="0.75" header="0.3" footer="0.3"/>
</x:worksheet>
</file>